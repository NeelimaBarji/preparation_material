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ily Tracker" sheetId="2" state="visible" r:id="rId4"/>
    <sheet name="DSA Problem Log" sheetId="3" state="visible" r:id="rId5"/>
    <sheet name="Mock Interview Log" sheetId="4" state="visible" r:id="rId6"/>
    <sheet name="Weekly Summary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<sst xmlns="http://schemas.openxmlformats.org/spreadsheetml/2006/main" count="198" uniqueCount="124">
  <si>
    <t xml:space="preserve">Java AI Developer — Interview Prep Tracker</t>
  </si>
  <si>
    <t xml:space="preserve">How to use this tracker:</t>
  </si>
  <si>
    <t xml:space="preserve">1. Go to the 'Daily Tracker' tab and fill in the YELLOW cells each night: hours spent, DSA problems solved, and whether you completed the day.</t>
  </si>
  <si>
    <t xml:space="preserve">2. Log every DSA problem you attempt in the 'DSA Problem Log' tab — this builds your personal question bank for revision.</t>
  </si>
  <si>
    <t xml:space="preserve">3. After each mock interview, log it in the 'Mock Interview Log' tab with a self-rating and notes.</t>
  </si>
  <si>
    <t xml:space="preserve">4. The 'Weekly Summary' and 'Dashboard' tabs update automatically from your entries — no need to touch them.</t>
  </si>
  <si>
    <t xml:space="preserve">5. Cells with BLUE text are pre-filled plan data (topics/themes) — don't overwrite these, they're your reference.</t>
  </si>
  <si>
    <t xml:space="preserve">6. Cells with YELLOW fill are for you to fill in daily.</t>
  </si>
  <si>
    <t xml:space="preserve">Legend:</t>
  </si>
  <si>
    <t xml:space="preserve">Yellow fill = fill in daily</t>
  </si>
  <si>
    <t xml:space="preserve">Blue text = pre-filled plan reference (do not edit)</t>
  </si>
  <si>
    <t xml:space="preserve">Week</t>
  </si>
  <si>
    <t xml:space="preserve">Day</t>
  </si>
  <si>
    <t xml:space="preserve">Date</t>
  </si>
  <si>
    <t xml:space="preserve">Topic (Plan)</t>
  </si>
  <si>
    <t xml:space="preserve">DSA Theme (Plan)</t>
  </si>
  <si>
    <t xml:space="preserve">Theory Hrs</t>
  </si>
  <si>
    <t xml:space="preserve">Hands-on Hrs</t>
  </si>
  <si>
    <t xml:space="preserve">DSA Hrs</t>
  </si>
  <si>
    <t xml:space="preserve">Review Hrs</t>
  </si>
  <si>
    <t xml:space="preserve">Total Hrs</t>
  </si>
  <si>
    <t xml:space="preserve">DSA Problems Solved</t>
  </si>
  <si>
    <t xml:space="preserve">Day Completed? (Y/N)</t>
  </si>
  <si>
    <t xml:space="preserve">Notes</t>
  </si>
  <si>
    <t xml:space="preserve">Mon</t>
  </si>
  <si>
    <t xml:space="preserve">Modern Java (17-21) features</t>
  </si>
  <si>
    <t xml:space="preserve">Arrays, Strings, HashMaps/HashSets</t>
  </si>
  <si>
    <t xml:space="preserve">Tue</t>
  </si>
  <si>
    <t xml:space="preserve">Streams &amp; Functional Java</t>
  </si>
  <si>
    <t xml:space="preserve">Wed</t>
  </si>
  <si>
    <t xml:space="preserve">Concurrency Fundamentals</t>
  </si>
  <si>
    <t xml:space="preserve">Thu</t>
  </si>
  <si>
    <t xml:space="preserve">Executors &amp; Concurrent Collections</t>
  </si>
  <si>
    <t xml:space="preserve">Fri</t>
  </si>
  <si>
    <t xml:space="preserve">Virtual Threads &amp; Structured Concurrency</t>
  </si>
  <si>
    <t xml:space="preserve">Sat</t>
  </si>
  <si>
    <t xml:space="preserve">Concurrency Interview Drills</t>
  </si>
  <si>
    <t xml:space="preserve">Sun</t>
  </si>
  <si>
    <t xml:space="preserve">Review + mock Q&amp;A (Week 1)</t>
  </si>
  <si>
    <t xml:space="preserve">Review struggled problems</t>
  </si>
  <si>
    <t xml:space="preserve">JVM Architecture</t>
  </si>
  <si>
    <t xml:space="preserve">LinkedList, Stacks, Queues</t>
  </si>
  <si>
    <t xml:space="preserve">Garbage Collection Deep Dive</t>
  </si>
  <si>
    <t xml:space="preserve">GC Tuning in Practice</t>
  </si>
  <si>
    <t xml:space="preserve">Memory Leaks &amp; Profiling</t>
  </si>
  <si>
    <t xml:space="preserve">Performance Tuning (JIT, JFR)</t>
  </si>
  <si>
    <t xml:space="preserve">JVM Interview Drills</t>
  </si>
  <si>
    <t xml:space="preserve">Review + mock Q&amp;A (Week 2)</t>
  </si>
  <si>
    <t xml:space="preserve">Spring Core Internals</t>
  </si>
  <si>
    <t xml:space="preserve">Trees &amp; Binary Search Trees</t>
  </si>
  <si>
    <t xml:space="preserve">Spring Boot Auto-Configuration</t>
  </si>
  <si>
    <t xml:space="preserve">Spring AOP &amp; Transactions</t>
  </si>
  <si>
    <t xml:space="preserve">Spring Data &amp; Persistence</t>
  </si>
  <si>
    <t xml:space="preserve">Spring Cloud / Microservices</t>
  </si>
  <si>
    <t xml:space="preserve">Spring Interview Drills</t>
  </si>
  <si>
    <t xml:space="preserve">Review + mock Q&amp;A (Week 3)</t>
  </si>
  <si>
    <t xml:space="preserve">System Design Fundamentals</t>
  </si>
  <si>
    <t xml:space="preserve">Graphs (BFS/DFS, Union-Find)</t>
  </si>
  <si>
    <t xml:space="preserve">Database Design at Scale</t>
  </si>
  <si>
    <t xml:space="preserve">Messaging &amp; Event-Driven Architecture</t>
  </si>
  <si>
    <t xml:space="preserve">Distributed Systems Theory</t>
  </si>
  <si>
    <t xml:space="preserve">Resilience &amp; Observability</t>
  </si>
  <si>
    <t xml:space="preserve">Mock System Design (full session)</t>
  </si>
  <si>
    <t xml:space="preserve">Review + gap-fill (Week 4)</t>
  </si>
  <si>
    <t xml:space="preserve">High-scale case studies</t>
  </si>
  <si>
    <t xml:space="preserve">Dynamic Programming</t>
  </si>
  <si>
    <t xml:space="preserve">Spring AI Fundamentals</t>
  </si>
  <si>
    <t xml:space="preserve">RAG Architecture</t>
  </si>
  <si>
    <t xml:space="preserve">Vector Databases</t>
  </si>
  <si>
    <t xml:space="preserve">LangChain4j Deep Dive</t>
  </si>
  <si>
    <t xml:space="preserve">AI System Design Mock</t>
  </si>
  <si>
    <t xml:space="preserve">Review + gap-fill (Week 5)</t>
  </si>
  <si>
    <t xml:space="preserve">LLM API Integration</t>
  </si>
  <si>
    <t xml:space="preserve">Mixed/Timed Mock Rounds</t>
  </si>
  <si>
    <t xml:space="preserve">Agentic Workflows &amp; Orchestration</t>
  </si>
  <si>
    <t xml:space="preserve">Cross-language Interop</t>
  </si>
  <si>
    <t xml:space="preserve">Full Mock Interview #1 (Technical)</t>
  </si>
  <si>
    <t xml:space="preserve">Full Mock Interview #2 (System Design)</t>
  </si>
  <si>
    <t xml:space="preserve">Behavioral &amp; Resume Deep-Dive</t>
  </si>
  <si>
    <t xml:space="preserve">Revisit 5 weakest DSA problems</t>
  </si>
  <si>
    <t xml:space="preserve">Final review + weak-area triage</t>
  </si>
  <si>
    <t xml:space="preserve">Final DSA log review</t>
  </si>
  <si>
    <t xml:space="preserve">Problem Name</t>
  </si>
  <si>
    <t xml:space="preserve">Topic</t>
  </si>
  <si>
    <t xml:space="preserve">Platform</t>
  </si>
  <si>
    <t xml:space="preserve">Difficulty</t>
  </si>
  <si>
    <t xml:space="preserve">Time Taken (min)</t>
  </si>
  <si>
    <t xml:space="preserve">Status</t>
  </si>
  <si>
    <t xml:space="preserve">2026-07-27</t>
  </si>
  <si>
    <t xml:space="preserve">Two Sum</t>
  </si>
  <si>
    <t xml:space="preserve">Arrays / HashMap</t>
  </si>
  <si>
    <t xml:space="preserve">LeetCode</t>
  </si>
  <si>
    <t xml:space="preserve">Easy</t>
  </si>
  <si>
    <t xml:space="preserve">Solved</t>
  </si>
  <si>
    <t xml:space="preserve">Used HashMap for O(n); revisit if slow next time</t>
  </si>
  <si>
    <t xml:space="preserve">Type</t>
  </si>
  <si>
    <t xml:space="preserve">Duration (min)</t>
  </si>
  <si>
    <t xml:space="preserve">Self-Rating (1-5)</t>
  </si>
  <si>
    <t xml:space="preserve">Key Strengths</t>
  </si>
  <si>
    <t xml:space="preserve">Areas to Improve</t>
  </si>
  <si>
    <t xml:space="preserve">2026-08-01</t>
  </si>
  <si>
    <t xml:space="preserve">Technical - Concurrency</t>
  </si>
  <si>
    <t xml:space="preserve">Explained CompletableFuture chaining well</t>
  </si>
  <si>
    <t xml:space="preserve">Was slow on deadlock detection question</t>
  </si>
  <si>
    <t xml:space="preserve">Redo deadlock scenarios next week</t>
  </si>
  <si>
    <t xml:space="preserve">Theme</t>
  </si>
  <si>
    <t xml:space="preserve">Planned Hours</t>
  </si>
  <si>
    <t xml:space="preserve">Logged Hours</t>
  </si>
  <si>
    <t xml:space="preserve">Completion %</t>
  </si>
  <si>
    <t xml:space="preserve">Days Marked Complete</t>
  </si>
  <si>
    <t xml:space="preserve">Core Java 17+ &amp; Concurrency</t>
  </si>
  <si>
    <t xml:space="preserve">JVM Internals &amp; GC Tuning</t>
  </si>
  <si>
    <t xml:space="preserve">Spring Boot / Spring Cloud Internals</t>
  </si>
  <si>
    <t xml:space="preserve">System Design &amp; Distributed Systems (Part 1)</t>
  </si>
  <si>
    <t xml:space="preserve">System Design (Part 2) + Spring AI / RAG / Vector Search</t>
  </si>
  <si>
    <t xml:space="preserve">LLM Integration, Mock Interviews, Behavioral</t>
  </si>
  <si>
    <t xml:space="preserve">Overall Preparation Dashboard</t>
  </si>
  <si>
    <t xml:space="preserve">Total Planned Hours (6 weeks)</t>
  </si>
  <si>
    <t xml:space="preserve">Total Hours Logged</t>
  </si>
  <si>
    <t xml:space="preserve">Overall Completion %</t>
  </si>
  <si>
    <t xml:space="preserve">Total DSA Problems Solved</t>
  </si>
  <si>
    <t xml:space="preserve">Total Days Marked Complete (out of 42)</t>
  </si>
  <si>
    <t xml:space="preserve">Total Mock Interviews Logged</t>
  </si>
  <si>
    <t xml:space="preserve">Average Mock Interview Self-Rating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</si>
</sst>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23.8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12" min="6" style="0" width="11"/>
    <col collapsed="false" customWidth="true" hidden="false" outlineLevel="0" max="13" min="13" style="0" width="28"/>
  </cols>
  <sheetData>
    <row r="1" customFormat="false" ht="39.5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</row>
    <row r="2" customFormat="false" ht="15" hidden="false" customHeight="false" outlineLevel="0" collapsed="false">
      <c r="A2" s="7" t="n">
        <v>1</v>
      </c>
      <c r="B2" s="7" t="s">
        <v>24</v>
      </c>
      <c r="C2" s="8"/>
      <c r="D2" s="9" t="s">
        <v>25</v>
      </c>
      <c r="E2" s="9" t="s">
        <v>26</v>
      </c>
      <c r="F2" s="8"/>
      <c r="G2" s="8"/>
      <c r="H2" s="8"/>
      <c r="I2" s="8"/>
      <c r="J2" s="7" t="n">
        <f aca="false">SUM(F2:I2)</f>
        <v>0</v>
      </c>
      <c r="K2" s="8"/>
      <c r="L2" s="8"/>
      <c r="M2" s="8"/>
    </row>
    <row r="3" customFormat="false" ht="15" hidden="false" customHeight="false" outlineLevel="0" collapsed="false">
      <c r="A3" s="7" t="n">
        <v>1</v>
      </c>
      <c r="B3" s="7" t="s">
        <v>27</v>
      </c>
      <c r="C3" s="8"/>
      <c r="D3" s="9" t="s">
        <v>28</v>
      </c>
      <c r="E3" s="9" t="s">
        <v>26</v>
      </c>
      <c r="F3" s="8"/>
      <c r="G3" s="8"/>
      <c r="H3" s="8"/>
      <c r="I3" s="8"/>
      <c r="J3" s="7" t="n">
        <f aca="false">SUM(F3:I3)</f>
        <v>0</v>
      </c>
      <c r="K3" s="8"/>
      <c r="L3" s="8"/>
      <c r="M3" s="8"/>
    </row>
    <row r="4" customFormat="false" ht="15" hidden="false" customHeight="false" outlineLevel="0" collapsed="false">
      <c r="A4" s="7" t="n">
        <v>1</v>
      </c>
      <c r="B4" s="7" t="s">
        <v>29</v>
      </c>
      <c r="C4" s="8"/>
      <c r="D4" s="9" t="s">
        <v>30</v>
      </c>
      <c r="E4" s="9" t="s">
        <v>26</v>
      </c>
      <c r="F4" s="8"/>
      <c r="G4" s="8"/>
      <c r="H4" s="8"/>
      <c r="I4" s="8"/>
      <c r="J4" s="7" t="n">
        <f aca="false">SUM(F4:I4)</f>
        <v>0</v>
      </c>
      <c r="K4" s="8"/>
      <c r="L4" s="8"/>
      <c r="M4" s="8"/>
    </row>
    <row r="5" customFormat="false" ht="15" hidden="false" customHeight="false" outlineLevel="0" collapsed="false">
      <c r="A5" s="7" t="n">
        <v>1</v>
      </c>
      <c r="B5" s="7" t="s">
        <v>31</v>
      </c>
      <c r="C5" s="8"/>
      <c r="D5" s="9" t="s">
        <v>32</v>
      </c>
      <c r="E5" s="9" t="s">
        <v>26</v>
      </c>
      <c r="F5" s="8"/>
      <c r="G5" s="8"/>
      <c r="H5" s="8"/>
      <c r="I5" s="8"/>
      <c r="J5" s="7" t="n">
        <f aca="false">SUM(F5:I5)</f>
        <v>0</v>
      </c>
      <c r="K5" s="8"/>
      <c r="L5" s="8"/>
      <c r="M5" s="8"/>
    </row>
    <row r="6" customFormat="false" ht="15" hidden="false" customHeight="false" outlineLevel="0" collapsed="false">
      <c r="A6" s="7" t="n">
        <v>1</v>
      </c>
      <c r="B6" s="7" t="s">
        <v>33</v>
      </c>
      <c r="C6" s="8"/>
      <c r="D6" s="9" t="s">
        <v>34</v>
      </c>
      <c r="E6" s="9" t="s">
        <v>26</v>
      </c>
      <c r="F6" s="8"/>
      <c r="G6" s="8"/>
      <c r="H6" s="8"/>
      <c r="I6" s="8"/>
      <c r="J6" s="7" t="n">
        <f aca="false">SUM(F6:I6)</f>
        <v>0</v>
      </c>
      <c r="K6" s="8"/>
      <c r="L6" s="8"/>
      <c r="M6" s="8"/>
    </row>
    <row r="7" customFormat="false" ht="15" hidden="false" customHeight="false" outlineLevel="0" collapsed="false">
      <c r="A7" s="7" t="n">
        <v>1</v>
      </c>
      <c r="B7" s="7" t="s">
        <v>35</v>
      </c>
      <c r="C7" s="8"/>
      <c r="D7" s="9" t="s">
        <v>36</v>
      </c>
      <c r="E7" s="9" t="s">
        <v>26</v>
      </c>
      <c r="F7" s="8"/>
      <c r="G7" s="8"/>
      <c r="H7" s="8"/>
      <c r="I7" s="8"/>
      <c r="J7" s="7" t="n">
        <f aca="false">SUM(F7:I7)</f>
        <v>0</v>
      </c>
      <c r="K7" s="8"/>
      <c r="L7" s="8"/>
      <c r="M7" s="8"/>
    </row>
    <row r="8" customFormat="false" ht="15" hidden="false" customHeight="false" outlineLevel="0" collapsed="false">
      <c r="A8" s="7" t="n">
        <v>1</v>
      </c>
      <c r="B8" s="7" t="s">
        <v>37</v>
      </c>
      <c r="C8" s="8"/>
      <c r="D8" s="9" t="s">
        <v>38</v>
      </c>
      <c r="E8" s="9" t="s">
        <v>39</v>
      </c>
      <c r="F8" s="8"/>
      <c r="G8" s="8"/>
      <c r="H8" s="8"/>
      <c r="I8" s="8"/>
      <c r="J8" s="7" t="n">
        <f aca="false">SUM(F8:I8)</f>
        <v>0</v>
      </c>
      <c r="K8" s="8"/>
      <c r="L8" s="8"/>
      <c r="M8" s="8"/>
    </row>
    <row r="9" customFormat="false" ht="15" hidden="false" customHeight="false" outlineLevel="0" collapsed="false">
      <c r="A9" s="7" t="n">
        <v>2</v>
      </c>
      <c r="B9" s="7" t="s">
        <v>24</v>
      </c>
      <c r="C9" s="8"/>
      <c r="D9" s="9" t="s">
        <v>40</v>
      </c>
      <c r="E9" s="9" t="s">
        <v>41</v>
      </c>
      <c r="F9" s="8"/>
      <c r="G9" s="8"/>
      <c r="H9" s="8"/>
      <c r="I9" s="8"/>
      <c r="J9" s="7" t="n">
        <f aca="false">SUM(F9:I9)</f>
        <v>0</v>
      </c>
      <c r="K9" s="8"/>
      <c r="L9" s="8"/>
      <c r="M9" s="8"/>
    </row>
    <row r="10" customFormat="false" ht="15" hidden="false" customHeight="false" outlineLevel="0" collapsed="false">
      <c r="A10" s="7" t="n">
        <v>2</v>
      </c>
      <c r="B10" s="7" t="s">
        <v>27</v>
      </c>
      <c r="C10" s="8"/>
      <c r="D10" s="9" t="s">
        <v>42</v>
      </c>
      <c r="E10" s="9" t="s">
        <v>41</v>
      </c>
      <c r="F10" s="8"/>
      <c r="G10" s="8"/>
      <c r="H10" s="8"/>
      <c r="I10" s="8"/>
      <c r="J10" s="7" t="n">
        <f aca="false">SUM(F10:I10)</f>
        <v>0</v>
      </c>
      <c r="K10" s="8"/>
      <c r="L10" s="8"/>
      <c r="M10" s="8"/>
    </row>
    <row r="11" customFormat="false" ht="15" hidden="false" customHeight="false" outlineLevel="0" collapsed="false">
      <c r="A11" s="7" t="n">
        <v>2</v>
      </c>
      <c r="B11" s="7" t="s">
        <v>29</v>
      </c>
      <c r="C11" s="8"/>
      <c r="D11" s="9" t="s">
        <v>43</v>
      </c>
      <c r="E11" s="9" t="s">
        <v>41</v>
      </c>
      <c r="F11" s="8"/>
      <c r="G11" s="8"/>
      <c r="H11" s="8"/>
      <c r="I11" s="8"/>
      <c r="J11" s="7" t="n">
        <f aca="false">SUM(F11:I11)</f>
        <v>0</v>
      </c>
      <c r="K11" s="8"/>
      <c r="L11" s="8"/>
      <c r="M11" s="8"/>
    </row>
    <row r="12" customFormat="false" ht="15" hidden="false" customHeight="false" outlineLevel="0" collapsed="false">
      <c r="A12" s="7" t="n">
        <v>2</v>
      </c>
      <c r="B12" s="7" t="s">
        <v>31</v>
      </c>
      <c r="C12" s="8"/>
      <c r="D12" s="9" t="s">
        <v>44</v>
      </c>
      <c r="E12" s="9" t="s">
        <v>41</v>
      </c>
      <c r="F12" s="8"/>
      <c r="G12" s="8"/>
      <c r="H12" s="8"/>
      <c r="I12" s="8"/>
      <c r="J12" s="7" t="n">
        <f aca="false">SUM(F12:I12)</f>
        <v>0</v>
      </c>
      <c r="K12" s="8"/>
      <c r="L12" s="8"/>
      <c r="M12" s="8"/>
    </row>
    <row r="13" customFormat="false" ht="15" hidden="false" customHeight="false" outlineLevel="0" collapsed="false">
      <c r="A13" s="7" t="n">
        <v>2</v>
      </c>
      <c r="B13" s="7" t="s">
        <v>33</v>
      </c>
      <c r="C13" s="8"/>
      <c r="D13" s="9" t="s">
        <v>45</v>
      </c>
      <c r="E13" s="9" t="s">
        <v>41</v>
      </c>
      <c r="F13" s="8"/>
      <c r="G13" s="8"/>
      <c r="H13" s="8"/>
      <c r="I13" s="8"/>
      <c r="J13" s="7" t="n">
        <f aca="false">SUM(F13:I13)</f>
        <v>0</v>
      </c>
      <c r="K13" s="8"/>
      <c r="L13" s="8"/>
      <c r="M13" s="8"/>
    </row>
    <row r="14" customFormat="false" ht="15" hidden="false" customHeight="false" outlineLevel="0" collapsed="false">
      <c r="A14" s="7" t="n">
        <v>2</v>
      </c>
      <c r="B14" s="7" t="s">
        <v>35</v>
      </c>
      <c r="C14" s="8"/>
      <c r="D14" s="9" t="s">
        <v>46</v>
      </c>
      <c r="E14" s="9" t="s">
        <v>41</v>
      </c>
      <c r="F14" s="8"/>
      <c r="G14" s="8"/>
      <c r="H14" s="8"/>
      <c r="I14" s="8"/>
      <c r="J14" s="7" t="n">
        <f aca="false">SUM(F14:I14)</f>
        <v>0</v>
      </c>
      <c r="K14" s="8"/>
      <c r="L14" s="8"/>
      <c r="M14" s="8"/>
    </row>
    <row r="15" customFormat="false" ht="15" hidden="false" customHeight="false" outlineLevel="0" collapsed="false">
      <c r="A15" s="7" t="n">
        <v>2</v>
      </c>
      <c r="B15" s="7" t="s">
        <v>37</v>
      </c>
      <c r="C15" s="8"/>
      <c r="D15" s="9" t="s">
        <v>47</v>
      </c>
      <c r="E15" s="9" t="s">
        <v>39</v>
      </c>
      <c r="F15" s="8"/>
      <c r="G15" s="8"/>
      <c r="H15" s="8"/>
      <c r="I15" s="8"/>
      <c r="J15" s="7" t="n">
        <f aca="false">SUM(F15:I15)</f>
        <v>0</v>
      </c>
      <c r="K15" s="8"/>
      <c r="L15" s="8"/>
      <c r="M15" s="8"/>
    </row>
    <row r="16" customFormat="false" ht="15" hidden="false" customHeight="false" outlineLevel="0" collapsed="false">
      <c r="A16" s="7" t="n">
        <v>3</v>
      </c>
      <c r="B16" s="7" t="s">
        <v>24</v>
      </c>
      <c r="C16" s="8"/>
      <c r="D16" s="9" t="s">
        <v>48</v>
      </c>
      <c r="E16" s="9" t="s">
        <v>49</v>
      </c>
      <c r="F16" s="8"/>
      <c r="G16" s="8"/>
      <c r="H16" s="8"/>
      <c r="I16" s="8"/>
      <c r="J16" s="7" t="n">
        <f aca="false">SUM(F16:I16)</f>
        <v>0</v>
      </c>
      <c r="K16" s="8"/>
      <c r="L16" s="8"/>
      <c r="M16" s="8"/>
    </row>
    <row r="17" customFormat="false" ht="15" hidden="false" customHeight="false" outlineLevel="0" collapsed="false">
      <c r="A17" s="7" t="n">
        <v>3</v>
      </c>
      <c r="B17" s="7" t="s">
        <v>27</v>
      </c>
      <c r="C17" s="8"/>
      <c r="D17" s="9" t="s">
        <v>50</v>
      </c>
      <c r="E17" s="9" t="s">
        <v>49</v>
      </c>
      <c r="F17" s="8"/>
      <c r="G17" s="8"/>
      <c r="H17" s="8"/>
      <c r="I17" s="8"/>
      <c r="J17" s="7" t="n">
        <f aca="false">SUM(F17:I17)</f>
        <v>0</v>
      </c>
      <c r="K17" s="8"/>
      <c r="L17" s="8"/>
      <c r="M17" s="8"/>
    </row>
    <row r="18" customFormat="false" ht="15" hidden="false" customHeight="false" outlineLevel="0" collapsed="false">
      <c r="A18" s="7" t="n">
        <v>3</v>
      </c>
      <c r="B18" s="7" t="s">
        <v>29</v>
      </c>
      <c r="C18" s="8"/>
      <c r="D18" s="9" t="s">
        <v>51</v>
      </c>
      <c r="E18" s="9" t="s">
        <v>49</v>
      </c>
      <c r="F18" s="8"/>
      <c r="G18" s="8"/>
      <c r="H18" s="8"/>
      <c r="I18" s="8"/>
      <c r="J18" s="7" t="n">
        <f aca="false">SUM(F18:I18)</f>
        <v>0</v>
      </c>
      <c r="K18" s="8"/>
      <c r="L18" s="8"/>
      <c r="M18" s="8"/>
    </row>
    <row r="19" customFormat="false" ht="15" hidden="false" customHeight="false" outlineLevel="0" collapsed="false">
      <c r="A19" s="7" t="n">
        <v>3</v>
      </c>
      <c r="B19" s="7" t="s">
        <v>31</v>
      </c>
      <c r="C19" s="8"/>
      <c r="D19" s="9" t="s">
        <v>52</v>
      </c>
      <c r="E19" s="9" t="s">
        <v>49</v>
      </c>
      <c r="F19" s="8"/>
      <c r="G19" s="8"/>
      <c r="H19" s="8"/>
      <c r="I19" s="8"/>
      <c r="J19" s="7" t="n">
        <f aca="false">SUM(F19:I19)</f>
        <v>0</v>
      </c>
      <c r="K19" s="8"/>
      <c r="L19" s="8"/>
      <c r="M19" s="8"/>
    </row>
    <row r="20" customFormat="false" ht="15" hidden="false" customHeight="false" outlineLevel="0" collapsed="false">
      <c r="A20" s="7" t="n">
        <v>3</v>
      </c>
      <c r="B20" s="7" t="s">
        <v>33</v>
      </c>
      <c r="C20" s="8"/>
      <c r="D20" s="9" t="s">
        <v>53</v>
      </c>
      <c r="E20" s="9" t="s">
        <v>49</v>
      </c>
      <c r="F20" s="8"/>
      <c r="G20" s="8"/>
      <c r="H20" s="8"/>
      <c r="I20" s="8"/>
      <c r="J20" s="7" t="n">
        <f aca="false">SUM(F20:I20)</f>
        <v>0</v>
      </c>
      <c r="K20" s="8"/>
      <c r="L20" s="8"/>
      <c r="M20" s="8"/>
    </row>
    <row r="21" customFormat="false" ht="15" hidden="false" customHeight="false" outlineLevel="0" collapsed="false">
      <c r="A21" s="7" t="n">
        <v>3</v>
      </c>
      <c r="B21" s="7" t="s">
        <v>35</v>
      </c>
      <c r="C21" s="8"/>
      <c r="D21" s="9" t="s">
        <v>54</v>
      </c>
      <c r="E21" s="9" t="s">
        <v>49</v>
      </c>
      <c r="F21" s="8"/>
      <c r="G21" s="8"/>
      <c r="H21" s="8"/>
      <c r="I21" s="8"/>
      <c r="J21" s="7" t="n">
        <f aca="false">SUM(F21:I21)</f>
        <v>0</v>
      </c>
      <c r="K21" s="8"/>
      <c r="L21" s="8"/>
      <c r="M21" s="8"/>
    </row>
    <row r="22" customFormat="false" ht="15" hidden="false" customHeight="false" outlineLevel="0" collapsed="false">
      <c r="A22" s="7" t="n">
        <v>3</v>
      </c>
      <c r="B22" s="7" t="s">
        <v>37</v>
      </c>
      <c r="C22" s="8"/>
      <c r="D22" s="9" t="s">
        <v>55</v>
      </c>
      <c r="E22" s="9" t="s">
        <v>39</v>
      </c>
      <c r="F22" s="8"/>
      <c r="G22" s="8"/>
      <c r="H22" s="8"/>
      <c r="I22" s="8"/>
      <c r="J22" s="7" t="n">
        <f aca="false">SUM(F22:I22)</f>
        <v>0</v>
      </c>
      <c r="K22" s="8"/>
      <c r="L22" s="8"/>
      <c r="M22" s="8"/>
    </row>
    <row r="23" customFormat="false" ht="15" hidden="false" customHeight="false" outlineLevel="0" collapsed="false">
      <c r="A23" s="7" t="n">
        <v>4</v>
      </c>
      <c r="B23" s="7" t="s">
        <v>24</v>
      </c>
      <c r="C23" s="8"/>
      <c r="D23" s="9" t="s">
        <v>56</v>
      </c>
      <c r="E23" s="9" t="s">
        <v>57</v>
      </c>
      <c r="F23" s="8"/>
      <c r="G23" s="8"/>
      <c r="H23" s="8"/>
      <c r="I23" s="8"/>
      <c r="J23" s="7" t="n">
        <f aca="false">SUM(F23:I23)</f>
        <v>0</v>
      </c>
      <c r="K23" s="8"/>
      <c r="L23" s="8"/>
      <c r="M23" s="8"/>
    </row>
    <row r="24" customFormat="false" ht="15" hidden="false" customHeight="false" outlineLevel="0" collapsed="false">
      <c r="A24" s="7" t="n">
        <v>4</v>
      </c>
      <c r="B24" s="7" t="s">
        <v>27</v>
      </c>
      <c r="C24" s="8"/>
      <c r="D24" s="9" t="s">
        <v>58</v>
      </c>
      <c r="E24" s="9" t="s">
        <v>57</v>
      </c>
      <c r="F24" s="8"/>
      <c r="G24" s="8"/>
      <c r="H24" s="8"/>
      <c r="I24" s="8"/>
      <c r="J24" s="7" t="n">
        <f aca="false">SUM(F24:I24)</f>
        <v>0</v>
      </c>
      <c r="K24" s="8"/>
      <c r="L24" s="8"/>
      <c r="M24" s="8"/>
    </row>
    <row r="25" customFormat="false" ht="15" hidden="false" customHeight="false" outlineLevel="0" collapsed="false">
      <c r="A25" s="7" t="n">
        <v>4</v>
      </c>
      <c r="B25" s="7" t="s">
        <v>29</v>
      </c>
      <c r="C25" s="8"/>
      <c r="D25" s="9" t="s">
        <v>59</v>
      </c>
      <c r="E25" s="9" t="s">
        <v>57</v>
      </c>
      <c r="F25" s="8"/>
      <c r="G25" s="8"/>
      <c r="H25" s="8"/>
      <c r="I25" s="8"/>
      <c r="J25" s="7" t="n">
        <f aca="false">SUM(F25:I25)</f>
        <v>0</v>
      </c>
      <c r="K25" s="8"/>
      <c r="L25" s="8"/>
      <c r="M25" s="8"/>
    </row>
    <row r="26" customFormat="false" ht="15" hidden="false" customHeight="false" outlineLevel="0" collapsed="false">
      <c r="A26" s="7" t="n">
        <v>4</v>
      </c>
      <c r="B26" s="7" t="s">
        <v>31</v>
      </c>
      <c r="C26" s="8"/>
      <c r="D26" s="9" t="s">
        <v>60</v>
      </c>
      <c r="E26" s="9" t="s">
        <v>57</v>
      </c>
      <c r="F26" s="8"/>
      <c r="G26" s="8"/>
      <c r="H26" s="8"/>
      <c r="I26" s="8"/>
      <c r="J26" s="7" t="n">
        <f aca="false">SUM(F26:I26)</f>
        <v>0</v>
      </c>
      <c r="K26" s="8"/>
      <c r="L26" s="8"/>
      <c r="M26" s="8"/>
    </row>
    <row r="27" customFormat="false" ht="15" hidden="false" customHeight="false" outlineLevel="0" collapsed="false">
      <c r="A27" s="7" t="n">
        <v>4</v>
      </c>
      <c r="B27" s="7" t="s">
        <v>33</v>
      </c>
      <c r="C27" s="8"/>
      <c r="D27" s="9" t="s">
        <v>61</v>
      </c>
      <c r="E27" s="9" t="s">
        <v>57</v>
      </c>
      <c r="F27" s="8"/>
      <c r="G27" s="8"/>
      <c r="H27" s="8"/>
      <c r="I27" s="8"/>
      <c r="J27" s="7" t="n">
        <f aca="false">SUM(F27:I27)</f>
        <v>0</v>
      </c>
      <c r="K27" s="8"/>
      <c r="L27" s="8"/>
      <c r="M27" s="8"/>
    </row>
    <row r="28" customFormat="false" ht="15" hidden="false" customHeight="false" outlineLevel="0" collapsed="false">
      <c r="A28" s="7" t="n">
        <v>4</v>
      </c>
      <c r="B28" s="7" t="s">
        <v>35</v>
      </c>
      <c r="C28" s="8"/>
      <c r="D28" s="9" t="s">
        <v>62</v>
      </c>
      <c r="E28" s="9" t="s">
        <v>57</v>
      </c>
      <c r="F28" s="8"/>
      <c r="G28" s="8"/>
      <c r="H28" s="8"/>
      <c r="I28" s="8"/>
      <c r="J28" s="7" t="n">
        <f aca="false">SUM(F28:I28)</f>
        <v>0</v>
      </c>
      <c r="K28" s="8"/>
      <c r="L28" s="8"/>
      <c r="M28" s="8"/>
    </row>
    <row r="29" customFormat="false" ht="15" hidden="false" customHeight="false" outlineLevel="0" collapsed="false">
      <c r="A29" s="7" t="n">
        <v>4</v>
      </c>
      <c r="B29" s="7" t="s">
        <v>37</v>
      </c>
      <c r="C29" s="8"/>
      <c r="D29" s="9" t="s">
        <v>63</v>
      </c>
      <c r="E29" s="9" t="s">
        <v>39</v>
      </c>
      <c r="F29" s="8"/>
      <c r="G29" s="8"/>
      <c r="H29" s="8"/>
      <c r="I29" s="8"/>
      <c r="J29" s="7" t="n">
        <f aca="false">SUM(F29:I29)</f>
        <v>0</v>
      </c>
      <c r="K29" s="8"/>
      <c r="L29" s="8"/>
      <c r="M29" s="8"/>
    </row>
    <row r="30" customFormat="false" ht="15" hidden="false" customHeight="false" outlineLevel="0" collapsed="false">
      <c r="A30" s="7" t="n">
        <v>5</v>
      </c>
      <c r="B30" s="7" t="s">
        <v>24</v>
      </c>
      <c r="C30" s="8"/>
      <c r="D30" s="9" t="s">
        <v>64</v>
      </c>
      <c r="E30" s="9" t="s">
        <v>65</v>
      </c>
      <c r="F30" s="8"/>
      <c r="G30" s="8"/>
      <c r="H30" s="8"/>
      <c r="I30" s="8"/>
      <c r="J30" s="7" t="n">
        <f aca="false">SUM(F30:I30)</f>
        <v>0</v>
      </c>
      <c r="K30" s="8"/>
      <c r="L30" s="8"/>
      <c r="M30" s="8"/>
    </row>
    <row r="31" customFormat="false" ht="15" hidden="false" customHeight="false" outlineLevel="0" collapsed="false">
      <c r="A31" s="7" t="n">
        <v>5</v>
      </c>
      <c r="B31" s="7" t="s">
        <v>27</v>
      </c>
      <c r="C31" s="8"/>
      <c r="D31" s="9" t="s">
        <v>66</v>
      </c>
      <c r="E31" s="9" t="s">
        <v>65</v>
      </c>
      <c r="F31" s="8"/>
      <c r="G31" s="8"/>
      <c r="H31" s="8"/>
      <c r="I31" s="8"/>
      <c r="J31" s="7" t="n">
        <f aca="false">SUM(F31:I31)</f>
        <v>0</v>
      </c>
      <c r="K31" s="8"/>
      <c r="L31" s="8"/>
      <c r="M31" s="8"/>
    </row>
    <row r="32" customFormat="false" ht="15" hidden="false" customHeight="false" outlineLevel="0" collapsed="false">
      <c r="A32" s="7" t="n">
        <v>5</v>
      </c>
      <c r="B32" s="7" t="s">
        <v>29</v>
      </c>
      <c r="C32" s="8"/>
      <c r="D32" s="9" t="s">
        <v>67</v>
      </c>
      <c r="E32" s="9" t="s">
        <v>65</v>
      </c>
      <c r="F32" s="8"/>
      <c r="G32" s="8"/>
      <c r="H32" s="8"/>
      <c r="I32" s="8"/>
      <c r="J32" s="7" t="n">
        <f aca="false">SUM(F32:I32)</f>
        <v>0</v>
      </c>
      <c r="K32" s="8"/>
      <c r="L32" s="8"/>
      <c r="M32" s="8"/>
    </row>
    <row r="33" customFormat="false" ht="15" hidden="false" customHeight="false" outlineLevel="0" collapsed="false">
      <c r="A33" s="7" t="n">
        <v>5</v>
      </c>
      <c r="B33" s="7" t="s">
        <v>31</v>
      </c>
      <c r="C33" s="8"/>
      <c r="D33" s="9" t="s">
        <v>68</v>
      </c>
      <c r="E33" s="9" t="s">
        <v>65</v>
      </c>
      <c r="F33" s="8"/>
      <c r="G33" s="8"/>
      <c r="H33" s="8"/>
      <c r="I33" s="8"/>
      <c r="J33" s="7" t="n">
        <f aca="false">SUM(F33:I33)</f>
        <v>0</v>
      </c>
      <c r="K33" s="8"/>
      <c r="L33" s="8"/>
      <c r="M33" s="8"/>
    </row>
    <row r="34" customFormat="false" ht="15" hidden="false" customHeight="false" outlineLevel="0" collapsed="false">
      <c r="A34" s="7" t="n">
        <v>5</v>
      </c>
      <c r="B34" s="7" t="s">
        <v>33</v>
      </c>
      <c r="C34" s="8"/>
      <c r="D34" s="9" t="s">
        <v>69</v>
      </c>
      <c r="E34" s="9" t="s">
        <v>65</v>
      </c>
      <c r="F34" s="8"/>
      <c r="G34" s="8"/>
      <c r="H34" s="8"/>
      <c r="I34" s="8"/>
      <c r="J34" s="7" t="n">
        <f aca="false">SUM(F34:I34)</f>
        <v>0</v>
      </c>
      <c r="K34" s="8"/>
      <c r="L34" s="8"/>
      <c r="M34" s="8"/>
    </row>
    <row r="35" customFormat="false" ht="15" hidden="false" customHeight="false" outlineLevel="0" collapsed="false">
      <c r="A35" s="7" t="n">
        <v>5</v>
      </c>
      <c r="B35" s="7" t="s">
        <v>35</v>
      </c>
      <c r="C35" s="8"/>
      <c r="D35" s="9" t="s">
        <v>70</v>
      </c>
      <c r="E35" s="9" t="s">
        <v>65</v>
      </c>
      <c r="F35" s="8"/>
      <c r="G35" s="8"/>
      <c r="H35" s="8"/>
      <c r="I35" s="8"/>
      <c r="J35" s="7" t="n">
        <f aca="false">SUM(F35:I35)</f>
        <v>0</v>
      </c>
      <c r="K35" s="8"/>
      <c r="L35" s="8"/>
      <c r="M35" s="8"/>
    </row>
    <row r="36" customFormat="false" ht="15" hidden="false" customHeight="false" outlineLevel="0" collapsed="false">
      <c r="A36" s="7" t="n">
        <v>5</v>
      </c>
      <c r="B36" s="7" t="s">
        <v>37</v>
      </c>
      <c r="C36" s="8"/>
      <c r="D36" s="9" t="s">
        <v>71</v>
      </c>
      <c r="E36" s="9" t="s">
        <v>39</v>
      </c>
      <c r="F36" s="8"/>
      <c r="G36" s="8"/>
      <c r="H36" s="8"/>
      <c r="I36" s="8"/>
      <c r="J36" s="7" t="n">
        <f aca="false">SUM(F36:I36)</f>
        <v>0</v>
      </c>
      <c r="K36" s="8"/>
      <c r="L36" s="8"/>
      <c r="M36" s="8"/>
    </row>
    <row r="37" customFormat="false" ht="15" hidden="false" customHeight="false" outlineLevel="0" collapsed="false">
      <c r="A37" s="7" t="n">
        <v>6</v>
      </c>
      <c r="B37" s="7" t="s">
        <v>24</v>
      </c>
      <c r="C37" s="8"/>
      <c r="D37" s="9" t="s">
        <v>72</v>
      </c>
      <c r="E37" s="9" t="s">
        <v>73</v>
      </c>
      <c r="F37" s="8"/>
      <c r="G37" s="8"/>
      <c r="H37" s="8"/>
      <c r="I37" s="8"/>
      <c r="J37" s="7" t="n">
        <f aca="false">SUM(F37:I37)</f>
        <v>0</v>
      </c>
      <c r="K37" s="8"/>
      <c r="L37" s="8"/>
      <c r="M37" s="8"/>
    </row>
    <row r="38" customFormat="false" ht="15" hidden="false" customHeight="false" outlineLevel="0" collapsed="false">
      <c r="A38" s="7" t="n">
        <v>6</v>
      </c>
      <c r="B38" s="7" t="s">
        <v>27</v>
      </c>
      <c r="C38" s="8"/>
      <c r="D38" s="9" t="s">
        <v>74</v>
      </c>
      <c r="E38" s="9" t="s">
        <v>73</v>
      </c>
      <c r="F38" s="8"/>
      <c r="G38" s="8"/>
      <c r="H38" s="8"/>
      <c r="I38" s="8"/>
      <c r="J38" s="7" t="n">
        <f aca="false">SUM(F38:I38)</f>
        <v>0</v>
      </c>
      <c r="K38" s="8"/>
      <c r="L38" s="8"/>
      <c r="M38" s="8"/>
    </row>
    <row r="39" customFormat="false" ht="15" hidden="false" customHeight="false" outlineLevel="0" collapsed="false">
      <c r="A39" s="7" t="n">
        <v>6</v>
      </c>
      <c r="B39" s="7" t="s">
        <v>29</v>
      </c>
      <c r="C39" s="8"/>
      <c r="D39" s="9" t="s">
        <v>75</v>
      </c>
      <c r="E39" s="9" t="s">
        <v>73</v>
      </c>
      <c r="F39" s="8"/>
      <c r="G39" s="8"/>
      <c r="H39" s="8"/>
      <c r="I39" s="8"/>
      <c r="J39" s="7" t="n">
        <f aca="false">SUM(F39:I39)</f>
        <v>0</v>
      </c>
      <c r="K39" s="8"/>
      <c r="L39" s="8"/>
      <c r="M39" s="8"/>
    </row>
    <row r="40" customFormat="false" ht="15" hidden="false" customHeight="false" outlineLevel="0" collapsed="false">
      <c r="A40" s="7" t="n">
        <v>6</v>
      </c>
      <c r="B40" s="7" t="s">
        <v>31</v>
      </c>
      <c r="C40" s="8"/>
      <c r="D40" s="9" t="s">
        <v>76</v>
      </c>
      <c r="E40" s="9" t="s">
        <v>73</v>
      </c>
      <c r="F40" s="8"/>
      <c r="G40" s="8"/>
      <c r="H40" s="8"/>
      <c r="I40" s="8"/>
      <c r="J40" s="7" t="n">
        <f aca="false">SUM(F40:I40)</f>
        <v>0</v>
      </c>
      <c r="K40" s="8"/>
      <c r="L40" s="8"/>
      <c r="M40" s="8"/>
    </row>
    <row r="41" customFormat="false" ht="15" hidden="false" customHeight="false" outlineLevel="0" collapsed="false">
      <c r="A41" s="7" t="n">
        <v>6</v>
      </c>
      <c r="B41" s="7" t="s">
        <v>33</v>
      </c>
      <c r="C41" s="8"/>
      <c r="D41" s="9" t="s">
        <v>77</v>
      </c>
      <c r="E41" s="9" t="s">
        <v>73</v>
      </c>
      <c r="F41" s="8"/>
      <c r="G41" s="8"/>
      <c r="H41" s="8"/>
      <c r="I41" s="8"/>
      <c r="J41" s="7" t="n">
        <f aca="false">SUM(F41:I41)</f>
        <v>0</v>
      </c>
      <c r="K41" s="8"/>
      <c r="L41" s="8"/>
      <c r="M41" s="8"/>
    </row>
    <row r="42" customFormat="false" ht="15" hidden="false" customHeight="false" outlineLevel="0" collapsed="false">
      <c r="A42" s="7" t="n">
        <v>6</v>
      </c>
      <c r="B42" s="7" t="s">
        <v>35</v>
      </c>
      <c r="C42" s="8"/>
      <c r="D42" s="9" t="s">
        <v>78</v>
      </c>
      <c r="E42" s="9" t="s">
        <v>79</v>
      </c>
      <c r="F42" s="8"/>
      <c r="G42" s="8"/>
      <c r="H42" s="8"/>
      <c r="I42" s="8"/>
      <c r="J42" s="7" t="n">
        <f aca="false">SUM(F42:I42)</f>
        <v>0</v>
      </c>
      <c r="K42" s="8"/>
      <c r="L42" s="8"/>
      <c r="M42" s="8"/>
    </row>
    <row r="43" customFormat="false" ht="15" hidden="false" customHeight="false" outlineLevel="0" collapsed="false">
      <c r="A43" s="7" t="n">
        <v>6</v>
      </c>
      <c r="B43" s="7" t="s">
        <v>37</v>
      </c>
      <c r="C43" s="8"/>
      <c r="D43" s="9" t="s">
        <v>80</v>
      </c>
      <c r="E43" s="9" t="s">
        <v>81</v>
      </c>
      <c r="F43" s="8"/>
      <c r="G43" s="8"/>
      <c r="H43" s="8"/>
      <c r="I43" s="8"/>
      <c r="J43" s="7" t="n">
        <f aca="false">SUM(F43:I43)</f>
        <v>0</v>
      </c>
      <c r="K43" s="8"/>
      <c r="L43" s="8"/>
      <c r="M43" s="8"/>
    </row>
  </sheetData>
  <dataValidations count="1">
    <dataValidation allowBlank="true" errorStyle="stop" operator="between" showDropDown="false" showErrorMessage="false" showInputMessage="false" sqref="L2:L4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26.85" hidden="false" customHeight="false" outlineLevel="0" collapsed="false">
      <c r="A1" s="6" t="s">
        <v>13</v>
      </c>
      <c r="B1" s="6" t="s">
        <v>82</v>
      </c>
      <c r="C1" s="6" t="s">
        <v>83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23</v>
      </c>
    </row>
    <row r="2" customFormat="false" ht="15" hidden="false" customHeight="false" outlineLevel="0" collapsed="false">
      <c r="A2" s="10" t="s">
        <v>88</v>
      </c>
      <c r="B2" s="10" t="s">
        <v>89</v>
      </c>
      <c r="C2" s="10" t="s">
        <v>90</v>
      </c>
      <c r="D2" s="10" t="s">
        <v>91</v>
      </c>
      <c r="E2" s="10" t="s">
        <v>92</v>
      </c>
      <c r="F2" s="10" t="n">
        <v>12</v>
      </c>
      <c r="G2" s="10" t="s">
        <v>93</v>
      </c>
      <c r="H2" s="10" t="s">
        <v>94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</row>
  </sheetData>
  <dataValidations count="2">
    <dataValidation allowBlank="true" errorStyle="stop" operator="between" showDropDown="false" showErrorMessage="false" showInputMessage="false" sqref="G3:G200" type="list">
      <formula1>"Solved,Partial,Struggled"</formula1>
      <formula2>0</formula2>
    </dataValidation>
    <dataValidation allowBlank="true" errorStyle="stop" operator="between" showDropDown="false" showErrorMessage="false" showInputMessage="false" sqref="E3:E200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7" min="5" style="0" width="32"/>
  </cols>
  <sheetData>
    <row r="1" customFormat="false" ht="26.85" hidden="false" customHeight="false" outlineLevel="0" collapsed="false">
      <c r="A1" s="6" t="s">
        <v>13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23</v>
      </c>
    </row>
    <row r="2" customFormat="false" ht="15" hidden="false" customHeight="false" outlineLevel="0" collapsed="false">
      <c r="A2" s="10" t="s">
        <v>100</v>
      </c>
      <c r="B2" s="10" t="s">
        <v>101</v>
      </c>
      <c r="C2" s="10" t="n">
        <v>60</v>
      </c>
      <c r="D2" s="10" t="n">
        <v>4</v>
      </c>
      <c r="E2" s="10" t="s">
        <v>102</v>
      </c>
      <c r="F2" s="10" t="s">
        <v>103</v>
      </c>
      <c r="G2" s="10" t="s">
        <v>104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</row>
  </sheetData>
  <dataValidations count="2">
    <dataValidation allowBlank="true" errorStyle="stop" operator="between" showDropDown="false" showErrorMessage="false" showInputMessage="false" sqref="B3:B100" type="list">
      <formula1>"Technical - Core Java,Technical - Concurrency,Technical - JVM,Technical - Spring,System Design,AI System Design,Behavioral"</formula1>
      <formula2>0</formula2>
    </dataValidation>
    <dataValidation allowBlank="true" errorStyle="stop" operator="between" showDropDown="false" showErrorMessage="false" showInputMessage="false" sqref="D3:D1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7" min="6" style="0" width="18"/>
  </cols>
  <sheetData>
    <row r="1" customFormat="false" ht="26.85" hidden="false" customHeight="false" outlineLevel="0" collapsed="false">
      <c r="A1" s="6" t="s">
        <v>11</v>
      </c>
      <c r="B1" s="6" t="s">
        <v>105</v>
      </c>
      <c r="C1" s="6" t="s">
        <v>106</v>
      </c>
      <c r="D1" s="6" t="s">
        <v>107</v>
      </c>
      <c r="E1" s="6" t="s">
        <v>108</v>
      </c>
      <c r="F1" s="6" t="s">
        <v>21</v>
      </c>
      <c r="G1" s="6" t="s">
        <v>109</v>
      </c>
    </row>
    <row r="2" customFormat="false" ht="15" hidden="false" customHeight="false" outlineLevel="0" collapsed="false">
      <c r="A2" s="7" t="n">
        <v>1</v>
      </c>
      <c r="B2" s="9" t="s">
        <v>110</v>
      </c>
      <c r="C2" s="7" t="n">
        <v>28</v>
      </c>
      <c r="D2" s="7" t="n">
        <f aca="false">SUMIF('Daily Tracker'!A:A,A2,'Daily Tracker'!J:J)</f>
        <v>0</v>
      </c>
      <c r="E2" s="12" t="n">
        <f aca="false">IFERROR(D2/C2,0)</f>
        <v>0</v>
      </c>
      <c r="F2" s="7" t="n">
        <f aca="false">SUMIF('Daily Tracker'!A:A,A2,'Daily Tracker'!K:K)</f>
        <v>0</v>
      </c>
      <c r="G2" s="7" t="n">
        <f aca="false">COUNTIFS('Daily Tracker'!A:A,A2,'Daily Tracker'!L:L,"Y")</f>
        <v>0</v>
      </c>
    </row>
    <row r="3" customFormat="false" ht="15" hidden="false" customHeight="false" outlineLevel="0" collapsed="false">
      <c r="A3" s="7" t="n">
        <v>2</v>
      </c>
      <c r="B3" s="9" t="s">
        <v>111</v>
      </c>
      <c r="C3" s="7" t="n">
        <v>28</v>
      </c>
      <c r="D3" s="7" t="n">
        <f aca="false">SUMIF('Daily Tracker'!A:A,A3,'Daily Tracker'!J:J)</f>
        <v>0</v>
      </c>
      <c r="E3" s="12" t="n">
        <f aca="false">IFERROR(D3/C3,0)</f>
        <v>0</v>
      </c>
      <c r="F3" s="7" t="n">
        <f aca="false">SUMIF('Daily Tracker'!A:A,A3,'Daily Tracker'!K:K)</f>
        <v>0</v>
      </c>
      <c r="G3" s="7" t="n">
        <f aca="false">COUNTIFS('Daily Tracker'!A:A,A3,'Daily Tracker'!L:L,"Y")</f>
        <v>0</v>
      </c>
    </row>
    <row r="4" customFormat="false" ht="15" hidden="false" customHeight="false" outlineLevel="0" collapsed="false">
      <c r="A4" s="7" t="n">
        <v>3</v>
      </c>
      <c r="B4" s="9" t="s">
        <v>112</v>
      </c>
      <c r="C4" s="7" t="n">
        <v>28</v>
      </c>
      <c r="D4" s="7" t="n">
        <f aca="false">SUMIF('Daily Tracker'!A:A,A4,'Daily Tracker'!J:J)</f>
        <v>0</v>
      </c>
      <c r="E4" s="12" t="n">
        <f aca="false">IFERROR(D4/C4,0)</f>
        <v>0</v>
      </c>
      <c r="F4" s="7" t="n">
        <f aca="false">SUMIF('Daily Tracker'!A:A,A4,'Daily Tracker'!K:K)</f>
        <v>0</v>
      </c>
      <c r="G4" s="7" t="n">
        <f aca="false">COUNTIFS('Daily Tracker'!A:A,A4,'Daily Tracker'!L:L,"Y")</f>
        <v>0</v>
      </c>
    </row>
    <row r="5" customFormat="false" ht="15" hidden="false" customHeight="false" outlineLevel="0" collapsed="false">
      <c r="A5" s="7" t="n">
        <v>4</v>
      </c>
      <c r="B5" s="9" t="s">
        <v>113</v>
      </c>
      <c r="C5" s="7" t="n">
        <v>28</v>
      </c>
      <c r="D5" s="7" t="n">
        <f aca="false">SUMIF('Daily Tracker'!A:A,A5,'Daily Tracker'!J:J)</f>
        <v>0</v>
      </c>
      <c r="E5" s="12" t="n">
        <f aca="false">IFERROR(D5/C5,0)</f>
        <v>0</v>
      </c>
      <c r="F5" s="7" t="n">
        <f aca="false">SUMIF('Daily Tracker'!A:A,A5,'Daily Tracker'!K:K)</f>
        <v>0</v>
      </c>
      <c r="G5" s="7" t="n">
        <f aca="false">COUNTIFS('Daily Tracker'!A:A,A5,'Daily Tracker'!L:L,"Y")</f>
        <v>0</v>
      </c>
    </row>
    <row r="6" customFormat="false" ht="15" hidden="false" customHeight="false" outlineLevel="0" collapsed="false">
      <c r="A6" s="7" t="n">
        <v>5</v>
      </c>
      <c r="B6" s="9" t="s">
        <v>114</v>
      </c>
      <c r="C6" s="7" t="n">
        <v>28</v>
      </c>
      <c r="D6" s="7" t="n">
        <f aca="false">SUMIF('Daily Tracker'!A:A,A6,'Daily Tracker'!J:J)</f>
        <v>0</v>
      </c>
      <c r="E6" s="12" t="n">
        <f aca="false">IFERROR(D6/C6,0)</f>
        <v>0</v>
      </c>
      <c r="F6" s="7" t="n">
        <f aca="false">SUMIF('Daily Tracker'!A:A,A6,'Daily Tracker'!K:K)</f>
        <v>0</v>
      </c>
      <c r="G6" s="7" t="n">
        <f aca="false">COUNTIFS('Daily Tracker'!A:A,A6,'Daily Tracker'!L:L,"Y")</f>
        <v>0</v>
      </c>
    </row>
    <row r="7" customFormat="false" ht="15" hidden="false" customHeight="false" outlineLevel="0" collapsed="false">
      <c r="A7" s="7" t="n">
        <v>6</v>
      </c>
      <c r="B7" s="9" t="s">
        <v>115</v>
      </c>
      <c r="C7" s="7" t="n">
        <v>28</v>
      </c>
      <c r="D7" s="7" t="n">
        <f aca="false">SUMIF('Daily Tracker'!A:A,A7,'Daily Tracker'!J:J)</f>
        <v>0</v>
      </c>
      <c r="E7" s="12" t="n">
        <f aca="false">IFERROR(D7/C7,0)</f>
        <v>0</v>
      </c>
      <c r="F7" s="7" t="n">
        <f aca="false">SUMIF('Daily Tracker'!A:A,A7,'Daily Tracker'!K:K)</f>
        <v>0</v>
      </c>
      <c r="G7" s="7" t="n">
        <f aca="false">COUNTIFS('Daily Tracker'!A:A,A7,'Daily Tracker'!L:L,"Y")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4" min="4" style="0" width="14"/>
  </cols>
  <sheetData>
    <row r="2" customFormat="false" ht="17.35" hidden="false" customHeight="false" outlineLevel="0" collapsed="false">
      <c r="B2" s="1" t="s">
        <v>116</v>
      </c>
    </row>
    <row r="4" customFormat="false" ht="15" hidden="false" customHeight="false" outlineLevel="0" collapsed="false">
      <c r="B4" s="2" t="s">
        <v>117</v>
      </c>
      <c r="D4" s="13" t="n">
        <f aca="false">SUM('Weekly Summary'!C2:C7)</f>
        <v>168</v>
      </c>
    </row>
    <row r="5" customFormat="false" ht="15" hidden="false" customHeight="false" outlineLevel="0" collapsed="false">
      <c r="B5" s="2" t="s">
        <v>118</v>
      </c>
      <c r="D5" s="13" t="n">
        <f aca="false">SUM('Weekly Summary'!D2:D7)</f>
        <v>0</v>
      </c>
    </row>
    <row r="6" customFormat="false" ht="15" hidden="false" customHeight="false" outlineLevel="0" collapsed="false">
      <c r="B6" s="2" t="s">
        <v>119</v>
      </c>
      <c r="D6" s="14" t="n">
        <f aca="false">IFERROR(B5/B4,0)</f>
        <v>0</v>
      </c>
    </row>
    <row r="7" customFormat="false" ht="15" hidden="false" customHeight="false" outlineLevel="0" collapsed="false">
      <c r="B7" s="2" t="s">
        <v>120</v>
      </c>
      <c r="D7" s="13" t="n">
        <f aca="false">SUM('Weekly Summary'!F2:F7)</f>
        <v>0</v>
      </c>
    </row>
    <row r="8" customFormat="false" ht="15" hidden="false" customHeight="false" outlineLevel="0" collapsed="false">
      <c r="B8" s="2" t="s">
        <v>121</v>
      </c>
      <c r="D8" s="13" t="n">
        <f aca="false">SUM('Weekly Summary'!G2:G7)</f>
        <v>0</v>
      </c>
    </row>
    <row r="9" customFormat="false" ht="15" hidden="false" customHeight="false" outlineLevel="0" collapsed="false">
      <c r="B9" s="2" t="s">
        <v>122</v>
      </c>
      <c r="D9" s="13" t="n">
        <f aca="false">COUNTA('Mock Interview Log'!A3:A100)</f>
        <v>0</v>
      </c>
    </row>
    <row r="10" customFormat="false" ht="15" hidden="false" customHeight="false" outlineLevel="0" collapsed="false">
      <c r="B10" s="2" t="s">
        <v>123</v>
      </c>
      <c r="D10" s="13" t="n">
        <f aca="false">IFERROR(AVERAGE('Mock Interview Log'!D3:D100),0)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2026-07-27T01:10:58Z</dcterms:created>
  <dc:creator>openpyxl</dc:creator>
  <dc:description/>
  <dc:language>en-US</dc:language>
  <cp:lastModifiedBy/>
  <dcterms:modified xsi:type="dcterms:W3CDTF">2026-07-27T01:10:58Z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